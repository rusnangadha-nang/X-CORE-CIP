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Lenovo\Corrosion Errosion Model\"/>
    </mc:Choice>
  </mc:AlternateContent>
  <xr:revisionPtr revIDLastSave="0" documentId="13_ncr:1_{9A3D9CC5-F1A9-45EA-AD65-2496DD21D1EE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UT_Data" sheetId="1" r:id="rId1"/>
    <sheet name="General Corrosion_Calc" sheetId="2" r:id="rId2"/>
    <sheet name="Pitting Corrosion_Calc" sheetId="5" r:id="rId3"/>
    <sheet name="RBI_Ranking" sheetId="3" r:id="rId4"/>
    <sheet name="AI_Model" sheetId="4" r:id="rId5"/>
  </sheets>
  <calcPr calcId="191029"/>
</workbook>
</file>

<file path=xl/calcChain.xml><?xml version="1.0" encoding="utf-8"?>
<calcChain xmlns="http://schemas.openxmlformats.org/spreadsheetml/2006/main">
  <c r="C2" i="5" l="1"/>
  <c r="B2" i="5"/>
  <c r="A2" i="5"/>
  <c r="D2" i="5" s="1"/>
  <c r="E2" i="5" l="1"/>
  <c r="G2" i="5" s="1"/>
  <c r="C2" i="2"/>
  <c r="B2" i="2"/>
  <c r="B2" i="3" s="1"/>
  <c r="A2" i="2"/>
  <c r="A2" i="3" s="1"/>
  <c r="D2" i="2" l="1"/>
  <c r="E2" i="2" s="1"/>
  <c r="G2" i="2" s="1"/>
  <c r="C2" i="3" s="1"/>
  <c r="D2" i="3" l="1"/>
  <c r="F2" i="3" s="1"/>
  <c r="G2" i="3" s="1"/>
  <c r="H2" i="3"/>
</calcChain>
</file>

<file path=xl/sharedStrings.xml><?xml version="1.0" encoding="utf-8"?>
<sst xmlns="http://schemas.openxmlformats.org/spreadsheetml/2006/main" count="51" uniqueCount="34">
  <si>
    <t>Tag</t>
  </si>
  <si>
    <t>Location</t>
  </si>
  <si>
    <t>Component</t>
  </si>
  <si>
    <t>Date</t>
  </si>
  <si>
    <t>t_nom</t>
  </si>
  <si>
    <t>t_measured</t>
  </si>
  <si>
    <t>Grid</t>
  </si>
  <si>
    <t>Remarks</t>
  </si>
  <si>
    <t>t_min</t>
  </si>
  <si>
    <t>CR</t>
  </si>
  <si>
    <t>t_req</t>
  </si>
  <si>
    <t>RL</t>
  </si>
  <si>
    <t>PoF</t>
  </si>
  <si>
    <t>CoF</t>
  </si>
  <si>
    <t>Risk</t>
  </si>
  <si>
    <t>Category</t>
  </si>
  <si>
    <t>Action</t>
  </si>
  <si>
    <t>WaterCut</t>
  </si>
  <si>
    <t>Line-101</t>
  </si>
  <si>
    <t>Elbow-01</t>
  </si>
  <si>
    <t>Elbow</t>
  </si>
  <si>
    <t>2026-01-01</t>
  </si>
  <si>
    <t>A1</t>
  </si>
  <si>
    <t>A2</t>
  </si>
  <si>
    <t>deep pit</t>
  </si>
  <si>
    <t>%wt-Gas</t>
  </si>
  <si>
    <t>Pressure (psig)</t>
  </si>
  <si>
    <t>Temperature (F)</t>
  </si>
  <si>
    <t>Sand (ppm)</t>
  </si>
  <si>
    <t>Chloride (ppm)</t>
  </si>
  <si>
    <t>CO2 (%mol)</t>
  </si>
  <si>
    <t>Velocity (ft/s)</t>
  </si>
  <si>
    <t>Measured_General CR (mpy)</t>
  </si>
  <si>
    <t>Measured_Pitting CR (mpy)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</si>
</sst>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D8" sqref="D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</v>
      </c>
      <c r="B2" t="s">
        <v>19</v>
      </c>
      <c r="C2" t="s">
        <v>20</v>
      </c>
      <c r="D2" t="s">
        <v>21</v>
      </c>
      <c r="E2">
        <v>10</v>
      </c>
      <c r="F2">
        <v>7.5</v>
      </c>
      <c r="G2" t="s">
        <v>22</v>
      </c>
    </row>
    <row r="3" spans="1:8" x14ac:dyDescent="0.25">
      <c r="A3" t="s">
        <v>18</v>
      </c>
      <c r="B3" t="s">
        <v>19</v>
      </c>
      <c r="C3" t="s">
        <v>20</v>
      </c>
      <c r="D3" t="s">
        <v>21</v>
      </c>
      <c r="E3">
        <v>10</v>
      </c>
      <c r="F3">
        <v>6.8</v>
      </c>
      <c r="G3" t="s">
        <v>23</v>
      </c>
      <c r="H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E2" sqref="E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 t="str">
        <f>UT_Data!A2</f>
        <v>Line-101</v>
      </c>
      <c r="B2" t="str">
        <f>UT_Data!B2</f>
        <v>Elbow-01</v>
      </c>
      <c r="C2">
        <f>UT_Data!E2</f>
        <v>10</v>
      </c>
      <c r="D2">
        <f>_xlfn.MINIFS(UT_Data!F:F,UT_Data!A:A,A2,UT_Data!B:B,B2)</f>
        <v>6.8</v>
      </c>
      <c r="E2">
        <f>(C2-D2)/1</f>
        <v>3.2</v>
      </c>
      <c r="F2">
        <v>6</v>
      </c>
      <c r="G2">
        <f>(D2-F2)/E2</f>
        <v>0.24999999999999994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194D-AD07-4EC4-BD30-E8B5B951F101}">
  <dimension ref="A1:G2"/>
  <sheetViews>
    <sheetView workbookViewId="0">
      <selection activeCell="E2" sqref="E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 t="str">
        <f>UT_Data!A2</f>
        <v>Line-101</v>
      </c>
      <c r="B2" t="str">
        <f>UT_Data!B2</f>
        <v>Elbow-01</v>
      </c>
      <c r="C2">
        <f>UT_Data!E2</f>
        <v>10</v>
      </c>
      <c r="D2">
        <f>_xlfn.MINIFS(UT_Data!F:F,UT_Data!A:A,A2,UT_Data!B:B,B2)</f>
        <v>6.8</v>
      </c>
      <c r="E2">
        <f>(C2-D2)/1</f>
        <v>3.2</v>
      </c>
      <c r="F2">
        <v>6</v>
      </c>
      <c r="G2">
        <f>(D2-F2)/E2</f>
        <v>0.24999999999999994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C2" sqref="C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t="str">
        <f>'General Corrosion_Calc'!A2</f>
        <v>Line-101</v>
      </c>
      <c r="B2" t="str">
        <f>'General Corrosion_Calc'!B2</f>
        <v>Elbow-01</v>
      </c>
      <c r="C2">
        <f>'General Corrosion_Calc'!G2</f>
        <v>0.24999999999999994</v>
      </c>
      <c r="D2">
        <f>IF(C2&lt;2,5,IF(C2&lt;5,3,1))</f>
        <v>5</v>
      </c>
      <c r="E2">
        <v>3</v>
      </c>
      <c r="F2">
        <f>D2*E2</f>
        <v>15</v>
      </c>
      <c r="G2" t="str">
        <f>IF(F2&gt;=15,"HIGH",IF(F2&gt;=6,"MEDIUM","LOW"))</f>
        <v>HIGH</v>
      </c>
      <c r="H2" t="str">
        <f>IF(C2&lt;1,"IMMEDIATE ACTION",IF(C2&lt;3,"INSPECT SOON","NORMAL"))</f>
        <v>IMMEDIATE ACTION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tabSelected="1" topLeftCell="C1" zoomScale="85" zoomScaleNormal="85" workbookViewId="0">
      <selection activeCell="C1" sqref="C1:J1"/>
    </sheetView>
  </sheetViews>
  <sheetFormatPr defaultRowHeight="15" x14ac:dyDescent="0.25"/>
  <cols>
    <col min="1" max="2" width="28.85546875" style="2" customWidth="1"/>
    <col min="3" max="10" width="28.85546875" customWidth="1"/>
    <col min="11" max="11" width="18.85546875" customWidth="1"/>
    <col min="14" max="14" width="11" customWidth="1"/>
    <col min="15" max="15" width="10.5703125" bestFit="1" customWidth="1"/>
  </cols>
  <sheetData>
    <row r="1" spans="1:15" x14ac:dyDescent="0.25">
      <c r="A1" s="5" t="s">
        <v>27</v>
      </c>
      <c r="B1" s="5" t="s">
        <v>26</v>
      </c>
      <c r="C1" s="7" t="s">
        <v>31</v>
      </c>
      <c r="D1" s="6" t="s">
        <v>17</v>
      </c>
      <c r="E1" s="7" t="s">
        <v>30</v>
      </c>
      <c r="F1" s="7" t="s">
        <v>29</v>
      </c>
      <c r="G1" s="6" t="s">
        <v>28</v>
      </c>
      <c r="H1" s="6" t="s">
        <v>25</v>
      </c>
      <c r="I1" s="7" t="s">
        <v>32</v>
      </c>
      <c r="J1" s="7" t="s">
        <v>33</v>
      </c>
      <c r="K1" s="1"/>
      <c r="L1" s="1"/>
      <c r="M1" s="1"/>
      <c r="N1" s="1"/>
      <c r="O1" s="1"/>
    </row>
    <row r="2" spans="1:15" x14ac:dyDescent="0.25">
      <c r="A2" s="2">
        <v>175</v>
      </c>
      <c r="B2" s="2">
        <v>100</v>
      </c>
      <c r="C2" s="2">
        <v>3</v>
      </c>
      <c r="D2" s="2">
        <v>99.5</v>
      </c>
      <c r="E2" s="2">
        <v>3</v>
      </c>
      <c r="F2" s="2">
        <v>16000</v>
      </c>
      <c r="G2" s="2">
        <v>50</v>
      </c>
      <c r="H2" s="2">
        <v>0.01</v>
      </c>
      <c r="I2" s="9">
        <v>1.2</v>
      </c>
      <c r="J2" s="8">
        <v>5</v>
      </c>
      <c r="K2" s="4"/>
      <c r="L2" s="4"/>
      <c r="O2" s="3"/>
    </row>
    <row r="3" spans="1:15" x14ac:dyDescent="0.25">
      <c r="A3" s="2">
        <v>167</v>
      </c>
      <c r="B3" s="2">
        <v>110</v>
      </c>
      <c r="C3" s="2">
        <v>2.5</v>
      </c>
      <c r="D3" s="2">
        <v>99</v>
      </c>
      <c r="E3" s="2">
        <v>2.5</v>
      </c>
      <c r="F3" s="2">
        <v>14000</v>
      </c>
      <c r="G3" s="2">
        <v>30</v>
      </c>
      <c r="H3" s="2">
        <v>0.1</v>
      </c>
      <c r="I3" s="9">
        <v>0.9</v>
      </c>
      <c r="J3" s="8">
        <v>5.5</v>
      </c>
      <c r="K3" s="4"/>
      <c r="L3" s="4"/>
      <c r="O3" s="3"/>
    </row>
    <row r="4" spans="1:15" x14ac:dyDescent="0.25">
      <c r="A4" s="2">
        <v>183</v>
      </c>
      <c r="B4" s="2">
        <v>105</v>
      </c>
      <c r="C4" s="2">
        <v>3.5</v>
      </c>
      <c r="D4" s="2">
        <v>99.7</v>
      </c>
      <c r="E4" s="2">
        <v>3.2</v>
      </c>
      <c r="F4" s="2">
        <v>17000</v>
      </c>
      <c r="G4" s="2">
        <v>70</v>
      </c>
      <c r="H4" s="2">
        <v>0.12</v>
      </c>
      <c r="I4" s="9">
        <v>1.5</v>
      </c>
      <c r="J4" s="8">
        <v>8</v>
      </c>
      <c r="K4" s="4"/>
      <c r="L4" s="4"/>
      <c r="O4" s="3"/>
    </row>
    <row r="5" spans="1:15" x14ac:dyDescent="0.25">
      <c r="A5" s="2">
        <v>190</v>
      </c>
      <c r="B5" s="2">
        <v>156</v>
      </c>
      <c r="C5" s="2">
        <v>4.5</v>
      </c>
      <c r="D5" s="2">
        <v>99.3</v>
      </c>
      <c r="E5" s="2">
        <v>2.8</v>
      </c>
      <c r="F5" s="2">
        <v>15000</v>
      </c>
      <c r="G5" s="2">
        <v>40</v>
      </c>
      <c r="H5" s="2">
        <v>0.2</v>
      </c>
      <c r="I5" s="9">
        <v>1.1000000000000001</v>
      </c>
      <c r="J5" s="8">
        <v>6.7</v>
      </c>
      <c r="K5" s="4"/>
      <c r="L5" s="4"/>
      <c r="O5" s="3"/>
    </row>
    <row r="6" spans="1:15" x14ac:dyDescent="0.25">
      <c r="A6" s="2">
        <v>167</v>
      </c>
      <c r="B6" s="2">
        <v>100</v>
      </c>
      <c r="C6" s="2">
        <v>5.5</v>
      </c>
      <c r="D6" s="2">
        <v>99.3</v>
      </c>
      <c r="E6" s="2">
        <v>2.8</v>
      </c>
      <c r="F6" s="2">
        <v>15000</v>
      </c>
      <c r="G6" s="2">
        <v>40</v>
      </c>
      <c r="H6" s="2">
        <v>0.2</v>
      </c>
      <c r="I6" s="9">
        <v>1.1000000000000001</v>
      </c>
      <c r="J6" s="8">
        <v>6</v>
      </c>
      <c r="K6" s="4"/>
      <c r="L6" s="4"/>
      <c r="O6" s="3"/>
    </row>
    <row r="7" spans="1:15" x14ac:dyDescent="0.25">
      <c r="A7" s="2">
        <v>188</v>
      </c>
      <c r="B7" s="2">
        <v>130</v>
      </c>
      <c r="C7" s="2">
        <v>6.5</v>
      </c>
      <c r="D7" s="2">
        <v>99.3</v>
      </c>
      <c r="E7" s="2">
        <v>2.8</v>
      </c>
      <c r="F7" s="2">
        <v>15000</v>
      </c>
      <c r="G7" s="2">
        <v>40</v>
      </c>
      <c r="H7" s="2">
        <v>0.2</v>
      </c>
      <c r="I7" s="9">
        <v>1.5</v>
      </c>
      <c r="J7" s="8">
        <v>6.8</v>
      </c>
      <c r="K7" s="4"/>
      <c r="L7" s="4"/>
      <c r="O7" s="3"/>
    </row>
    <row r="8" spans="1:15" x14ac:dyDescent="0.25">
      <c r="A8" s="2">
        <v>209</v>
      </c>
      <c r="B8" s="2">
        <v>120</v>
      </c>
      <c r="C8" s="2">
        <v>7.5</v>
      </c>
      <c r="D8" s="2">
        <v>99.3</v>
      </c>
      <c r="E8" s="2">
        <v>2.8</v>
      </c>
      <c r="F8" s="2">
        <v>15000</v>
      </c>
      <c r="G8" s="2">
        <v>40</v>
      </c>
      <c r="H8" s="2">
        <v>0.2</v>
      </c>
      <c r="I8" s="9">
        <v>2</v>
      </c>
      <c r="J8" s="8">
        <v>7</v>
      </c>
      <c r="K8" s="4"/>
      <c r="L8" s="4"/>
      <c r="O8" s="3"/>
    </row>
    <row r="9" spans="1:15" x14ac:dyDescent="0.25">
      <c r="A9" s="2">
        <v>230</v>
      </c>
      <c r="B9" s="2">
        <v>111</v>
      </c>
      <c r="C9" s="2">
        <v>8.5</v>
      </c>
      <c r="D9" s="2">
        <v>99.3</v>
      </c>
      <c r="E9" s="2">
        <v>2.8</v>
      </c>
      <c r="F9" s="2">
        <v>15000</v>
      </c>
      <c r="G9" s="2">
        <v>40</v>
      </c>
      <c r="H9" s="2">
        <v>0.2</v>
      </c>
      <c r="I9" s="9">
        <v>1.3</v>
      </c>
      <c r="J9" s="8">
        <v>9</v>
      </c>
      <c r="K9" s="4"/>
      <c r="L9" s="4"/>
    </row>
    <row r="10" spans="1:15" x14ac:dyDescent="0.25">
      <c r="A10" s="2">
        <v>251</v>
      </c>
      <c r="B10" s="2">
        <v>118</v>
      </c>
      <c r="C10" s="2">
        <v>9.5</v>
      </c>
      <c r="D10" s="2">
        <v>99.3</v>
      </c>
      <c r="E10" s="2">
        <v>2.8</v>
      </c>
      <c r="F10" s="2">
        <v>15000</v>
      </c>
      <c r="G10" s="2">
        <v>40</v>
      </c>
      <c r="H10" s="2">
        <v>0.2</v>
      </c>
      <c r="I10" s="9">
        <v>2.2000000000000002</v>
      </c>
      <c r="J10" s="8">
        <v>7.9</v>
      </c>
      <c r="K10" s="4"/>
      <c r="L10" s="4"/>
    </row>
    <row r="11" spans="1:15" x14ac:dyDescent="0.25">
      <c r="A11" s="2">
        <v>272</v>
      </c>
      <c r="B11" s="2">
        <v>104</v>
      </c>
      <c r="C11" s="2">
        <v>10.5</v>
      </c>
      <c r="D11" s="2">
        <v>99.3</v>
      </c>
      <c r="E11" s="2">
        <v>2.8</v>
      </c>
      <c r="F11" s="2">
        <v>15000</v>
      </c>
      <c r="G11" s="2">
        <v>40</v>
      </c>
      <c r="H11" s="2">
        <v>0.2</v>
      </c>
      <c r="I11" s="9">
        <v>4.5</v>
      </c>
      <c r="J11" s="8">
        <v>9</v>
      </c>
      <c r="K11" s="4"/>
      <c r="L11" s="4"/>
    </row>
    <row r="12" spans="1:15" x14ac:dyDescent="0.25">
      <c r="A12" s="2">
        <v>293</v>
      </c>
      <c r="B12" s="2">
        <v>200</v>
      </c>
      <c r="C12" s="2">
        <v>11.5</v>
      </c>
      <c r="D12" s="2">
        <v>99.3</v>
      </c>
      <c r="E12" s="2">
        <v>2.8</v>
      </c>
      <c r="F12" s="2">
        <v>15000</v>
      </c>
      <c r="G12" s="2">
        <v>40</v>
      </c>
      <c r="H12" s="2">
        <v>0.2</v>
      </c>
      <c r="I12" s="9">
        <v>7</v>
      </c>
      <c r="J12" s="8">
        <v>9.1</v>
      </c>
      <c r="K12" s="4"/>
      <c r="L12" s="4"/>
    </row>
    <row r="13" spans="1:15" x14ac:dyDescent="0.25">
      <c r="J13" s="4"/>
      <c r="K13" s="4"/>
      <c r="L13" s="4"/>
    </row>
    <row r="14" spans="1:15" x14ac:dyDescent="0.25">
      <c r="J14" s="4"/>
      <c r="K14" s="4"/>
      <c r="L14" s="4"/>
    </row>
    <row r="15" spans="1:15" x14ac:dyDescent="0.25">
      <c r="J15" s="4"/>
      <c r="K15" s="4"/>
      <c r="L15" s="4"/>
    </row>
    <row r="16" spans="1:15" x14ac:dyDescent="0.25">
      <c r="J16" s="4"/>
      <c r="K16" s="4"/>
      <c r="L16" s="4"/>
    </row>
    <row r="17" spans="10:12" x14ac:dyDescent="0.25">
      <c r="J17" s="4"/>
      <c r="K17" s="4"/>
      <c r="L17" s="4"/>
    </row>
    <row r="18" spans="10:12" x14ac:dyDescent="0.25">
      <c r="J18" s="4"/>
      <c r="K18" s="4"/>
      <c r="L18" s="4"/>
    </row>
    <row r="19" spans="10:12" x14ac:dyDescent="0.25">
      <c r="J19" s="4"/>
      <c r="K19" s="4"/>
      <c r="L19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UT_Data</vt:lpstr>
      <vt:lpstr>General Corrosion_Calc</vt:lpstr>
      <vt:lpstr>Pitting Corrosion_Calc</vt:lpstr>
      <vt:lpstr>RBI_Ranking</vt:lpstr>
      <vt:lpstr>AI_Model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2026-05-07T09:13:37Z</dcterms:created>
  <dcterms:modified xsi:type="dcterms:W3CDTF">2026-05-08T15:07:23Z</dcterms:modified>
</cp:coreProperties>
</file>